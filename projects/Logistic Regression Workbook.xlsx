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When to use" sheetId="2" r:id="rId5"/>
    <sheet state="visible" name="Little Math" sheetId="3" r:id="rId6"/>
    <sheet state="visible" name="Model Training" sheetId="4" r:id="rId7"/>
    <sheet state="visible" name="Model Evaluation" sheetId="5" r:id="rId8"/>
  </sheets>
  <definedNames>
    <definedName name="PREDICTED">'Model Evaluation'!$B$2:$B$21</definedName>
    <definedName name="ACTUAL">'Model Evaluation'!$A$2:$A$21</definedName>
    <definedName hidden="1" localSheetId="3" name="_xlnm._FilterDatabase">'Model Training'!$H$3:$K$23</definedName>
  </definedNames>
  <calcPr/>
</workbook>
</file>

<file path=xl/sharedStrings.xml><?xml version="1.0" encoding="utf-8"?>
<sst xmlns="http://schemas.openxmlformats.org/spreadsheetml/2006/main" count="62" uniqueCount="54">
  <si>
    <t>Lesson</t>
  </si>
  <si>
    <t>Content</t>
  </si>
  <si>
    <t>When to use Logistic Regression?</t>
  </si>
  <si>
    <t>A little math</t>
  </si>
  <si>
    <t>Model training</t>
  </si>
  <si>
    <t>Model evaluation</t>
  </si>
  <si>
    <t>When to use logistic regression</t>
  </si>
  <si>
    <t>นี่คือค่า z หรือ x</t>
  </si>
  <si>
    <t>[0-1]</t>
  </si>
  <si>
    <t>Threshold &gt;=</t>
  </si>
  <si>
    <t>happiness</t>
  </si>
  <si>
    <t>divorce</t>
  </si>
  <si>
    <t>linReg</t>
  </si>
  <si>
    <t>logReg</t>
  </si>
  <si>
    <t>sigmoid - prob(divorce)</t>
  </si>
  <si>
    <t>2nd sigmoid style - prob(divorce)</t>
  </si>
  <si>
    <t>predicted divorce</t>
  </si>
  <si>
    <t>ทายถูก ?</t>
  </si>
  <si>
    <t>divorce = f(happiness)</t>
  </si>
  <si>
    <t>intercept</t>
  </si>
  <si>
    <t>slope</t>
  </si>
  <si>
    <t>SUMMARY OUTPUT</t>
  </si>
  <si>
    <t>Regression Statistics</t>
  </si>
  <si>
    <t>Chi Square</t>
  </si>
  <si>
    <t>Residual Dev.</t>
  </si>
  <si>
    <t># of iterations</t>
  </si>
  <si>
    <t>Observations</t>
  </si>
  <si>
    <t>Coefficients</t>
  </si>
  <si>
    <t>Standard Error</t>
  </si>
  <si>
    <t>P-value</t>
  </si>
  <si>
    <t>Odd Ratio</t>
  </si>
  <si>
    <t>Lower 95%</t>
  </si>
  <si>
    <t>Upper 95%</t>
  </si>
  <si>
    <t>Intercept</t>
  </si>
  <si>
    <t>ยังน้อยกว่า 0.1 เท่ากับตัวแปร happiness มีนัยยะสำคัญ กรณีนี้เรา Assume ที่ 10% จากปกติ default ที่ 5%</t>
  </si>
  <si>
    <t>Accuracy</t>
  </si>
  <si>
    <t>หรือสูตรนี้ก็ได้</t>
  </si>
  <si>
    <t>X</t>
  </si>
  <si>
    <t>Y</t>
  </si>
  <si>
    <t>Y (2nd formula)</t>
  </si>
  <si>
    <t>or</t>
  </si>
  <si>
    <t>ID</t>
  </si>
  <si>
    <t>random</t>
  </si>
  <si>
    <t>Actual Y</t>
  </si>
  <si>
    <t>Predicted Y</t>
  </si>
  <si>
    <t>Predicted</t>
  </si>
  <si>
    <t>Actual</t>
  </si>
  <si>
    <t>No</t>
  </si>
  <si>
    <t>Yes</t>
  </si>
  <si>
    <t>Total N</t>
  </si>
  <si>
    <t>Precision</t>
  </si>
  <si>
    <t>ทุกครั้งที่ Predict ว่า Yes มีอยู่จริงกี่คน</t>
  </si>
  <si>
    <t>Recall</t>
  </si>
  <si>
    <t>F1-Score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</si>
</sst>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"/>
  </numFmts>
  <fonts count="6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u/>
      <color rgb="FF1155CC"/>
      <name val="Work Sans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9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5" numFmtId="165" xfId="0" applyFont="1" applyNumberForma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165" xfId="0" applyAlignment="1" applyFill="1" applyFont="1" applyNumberFormat="1">
      <alignment readingOrder="0"/>
    </xf>
    <xf borderId="0" fillId="0" fontId="5" numFmtId="10" xfId="0" applyFont="1" applyNumberFormat="1"/>
    <xf borderId="0" fillId="0" fontId="2" numFmtId="10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5" numFmtId="165" xfId="0" applyFont="1" applyNumberFormat="1"/>
    <xf borderId="0" fillId="5" fontId="2" numFmtId="0" xfId="0" applyAlignment="1" applyFill="1" applyFont="1">
      <alignment horizontal="center" readingOrder="0"/>
    </xf>
    <xf borderId="0" fillId="5" fontId="5" numFmtId="165" xfId="0" applyFont="1" applyNumberFormat="1"/>
    <xf borderId="0" fillId="6" fontId="2" numFmtId="0" xfId="0" applyAlignment="1" applyFill="1" applyFont="1">
      <alignment horizontal="center"/>
    </xf>
    <xf borderId="0" fillId="6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divorce vs. happiness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'When to use'!$B$3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'When to use'!$A$4:$A$23</c:f>
            </c:numRef>
          </c:xVal>
          <c:yVal>
            <c:numRef>
              <c:f>'When to use'!$B$4:$B$23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40362"/>
        <c:axId val="976331342"/>
      </c:scatterChart>
      <c:valAx>
        <c:axId val="338040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happiness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331342"/>
      </c:valAx>
      <c:valAx>
        <c:axId val="976331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divorce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urier New"/>
              </a:defRPr>
            </a:pPr>
          </a:p>
        </c:txPr>
        <c:crossAx val="338040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X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'Little Math'!$B$1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'Little Math'!$A$2:$A$22</c:f>
            </c:numRef>
          </c:xVal>
          <c:yVal>
            <c:numRef>
              <c:f>'Little Math'!$B$2:$B$22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927429"/>
        <c:axId val="664410636"/>
      </c:scatterChart>
      <c:valAx>
        <c:axId val="849927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410636"/>
      </c:valAx>
      <c:valAx>
        <c:axId val="664410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927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581025</xdr:colOff>
      <xdr:row>0</xdr:row>
      <xdr:rowOff>76200</xdr:rowOff>
    </xdr:from>
    <xdr:ext cx="4895850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7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438150</xdr:colOff>
      <xdr:row>0</xdr:row>
      <xdr:rowOff>133350</xdr:rowOff>
    </xdr:from>
    <xdr:ext cx="2486025" cy="1276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1</xdr:row>
      <xdr:rowOff>200025</xdr:rowOff>
    </xdr:from>
    <xdr:ext cx="3219450" cy="6572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67450" cy="4629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display="When to use Logistic Regression?" location="'When to use'!A1" ref="B2"/>
    <hyperlink display="A little math" location="'Little Math'!A1" ref="B3"/>
    <hyperlink display="Model training" location="'Model Training'!A1" ref="B4"/>
    <hyperlink display="Model evaluation" location="'Model Evaluation'!A1" ref="B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8.75"/>
    <col customWidth="1" min="7" max="7" width="17.25"/>
  </cols>
  <sheetData>
    <row r="1">
      <c r="A1" s="8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3"/>
      <c r="B2" s="3"/>
      <c r="C2" s="3"/>
      <c r="D2" s="8" t="s">
        <v>7</v>
      </c>
      <c r="E2" s="1" t="s">
        <v>8</v>
      </c>
      <c r="F2" s="3"/>
      <c r="G2" s="3"/>
      <c r="H2" s="3"/>
      <c r="I2" s="3"/>
      <c r="J2" s="9" t="s">
        <v>9</v>
      </c>
      <c r="K2" s="10">
        <v>0.5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/>
      <c r="J3" s="11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4">
        <v>10.0</v>
      </c>
      <c r="B4" s="4">
        <v>0.0</v>
      </c>
      <c r="C4" s="12">
        <f t="array" ref="C4:C23">$K$6+$K$7*A4:A23</f>
        <v>-0.1701435925</v>
      </c>
      <c r="D4" s="12">
        <f t="shared" ref="D4:D23" si="1">$K$18+$K$19*A4</f>
        <v>-8.244850879</v>
      </c>
      <c r="E4" s="12">
        <f t="shared" ref="E4:E23" si="2">1/(1+EXP(-D4))</f>
        <v>0.0002625383342</v>
      </c>
      <c r="F4" s="12">
        <f t="shared" ref="F4:F23" si="3">EXP(D4)/(1+EXP(D4))</f>
        <v>0.0002625383342</v>
      </c>
      <c r="G4" s="13">
        <f t="shared" ref="G4:G23" si="4">IF(E4&gt;=$K$2, 1, 0)</f>
        <v>0</v>
      </c>
      <c r="H4" s="13">
        <f t="shared" ref="H4:H23" si="5">IF(B4=G4,1,0)</f>
        <v>1</v>
      </c>
      <c r="I4" s="12"/>
      <c r="J4" s="14" t="s">
        <v>18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4">
        <v>8.0</v>
      </c>
      <c r="B5" s="4">
        <v>0.0</v>
      </c>
      <c r="C5" s="12">
        <v>0.10620428068274168</v>
      </c>
      <c r="D5" s="12">
        <f t="shared" si="1"/>
        <v>-4.611487487</v>
      </c>
      <c r="E5" s="12">
        <f t="shared" si="2"/>
        <v>0.009839253192</v>
      </c>
      <c r="F5" s="12">
        <f t="shared" si="3"/>
        <v>0.009839253192</v>
      </c>
      <c r="G5" s="13">
        <f t="shared" si="4"/>
        <v>0</v>
      </c>
      <c r="H5" s="13">
        <f t="shared" si="5"/>
        <v>1</v>
      </c>
      <c r="I5" s="12"/>
      <c r="J5" s="15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4">
        <v>9.0</v>
      </c>
      <c r="B6" s="4">
        <v>0.0</v>
      </c>
      <c r="C6" s="12">
        <v>-0.03196965591980505</v>
      </c>
      <c r="D6" s="12">
        <f t="shared" si="1"/>
        <v>-6.428169183</v>
      </c>
      <c r="E6" s="12">
        <f t="shared" si="2"/>
        <v>0.001612800314</v>
      </c>
      <c r="F6" s="12">
        <f t="shared" si="3"/>
        <v>0.001612800314</v>
      </c>
      <c r="G6" s="13">
        <f t="shared" si="4"/>
        <v>0</v>
      </c>
      <c r="H6" s="13">
        <f t="shared" si="5"/>
        <v>1</v>
      </c>
      <c r="I6" s="12"/>
      <c r="J6" s="14" t="s">
        <v>19</v>
      </c>
      <c r="K6" s="16">
        <f>INTERCEPT(B4:B23, A4:A23)</f>
        <v>1.211595774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4">
        <v>7.0</v>
      </c>
      <c r="B7" s="4">
        <v>0.0</v>
      </c>
      <c r="C7" s="12">
        <v>0.2443782172852884</v>
      </c>
      <c r="D7" s="12">
        <f t="shared" si="1"/>
        <v>-2.794805792</v>
      </c>
      <c r="E7" s="12">
        <f t="shared" si="2"/>
        <v>0.05760550737</v>
      </c>
      <c r="F7" s="12">
        <f t="shared" si="3"/>
        <v>0.05760550737</v>
      </c>
      <c r="G7" s="13">
        <f t="shared" si="4"/>
        <v>0</v>
      </c>
      <c r="H7" s="13">
        <f t="shared" si="5"/>
        <v>1</v>
      </c>
      <c r="I7" s="12"/>
      <c r="J7" s="14" t="s">
        <v>20</v>
      </c>
      <c r="K7" s="16">
        <f>SLOPE(B4:B23,A4:A23)</f>
        <v>-0.1381739366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4">
        <v>8.0</v>
      </c>
      <c r="B8" s="4">
        <v>0.0</v>
      </c>
      <c r="C8" s="12">
        <v>0.10620428068274168</v>
      </c>
      <c r="D8" s="12">
        <f t="shared" si="1"/>
        <v>-4.611487487</v>
      </c>
      <c r="E8" s="12">
        <f t="shared" si="2"/>
        <v>0.009839253192</v>
      </c>
      <c r="F8" s="12">
        <f t="shared" si="3"/>
        <v>0.009839253192</v>
      </c>
      <c r="G8" s="13">
        <f t="shared" si="4"/>
        <v>0</v>
      </c>
      <c r="H8" s="13">
        <f t="shared" si="5"/>
        <v>1</v>
      </c>
      <c r="I8" s="12"/>
      <c r="J8" s="1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4">
        <v>5.0</v>
      </c>
      <c r="B9" s="4">
        <v>0.0</v>
      </c>
      <c r="C9" s="12">
        <v>0.5207260904903818</v>
      </c>
      <c r="D9" s="12">
        <f t="shared" si="1"/>
        <v>0.8385575997</v>
      </c>
      <c r="E9" s="12">
        <f t="shared" si="2"/>
        <v>0.6981613429</v>
      </c>
      <c r="F9" s="12">
        <f t="shared" si="3"/>
        <v>0.6981613429</v>
      </c>
      <c r="G9" s="13">
        <f t="shared" si="4"/>
        <v>1</v>
      </c>
      <c r="H9" s="13">
        <f t="shared" si="5"/>
        <v>0</v>
      </c>
      <c r="I9" s="12"/>
      <c r="J9" s="14" t="s">
        <v>21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4">
        <v>9.0</v>
      </c>
      <c r="B10" s="4">
        <v>0.0</v>
      </c>
      <c r="C10" s="12">
        <v>-0.03196965591980505</v>
      </c>
      <c r="D10" s="12">
        <f t="shared" si="1"/>
        <v>-6.428169183</v>
      </c>
      <c r="E10" s="12">
        <f t="shared" si="2"/>
        <v>0.001612800314</v>
      </c>
      <c r="F10" s="12">
        <f t="shared" si="3"/>
        <v>0.001612800314</v>
      </c>
      <c r="G10" s="13">
        <f t="shared" si="4"/>
        <v>0</v>
      </c>
      <c r="H10" s="13">
        <f t="shared" si="5"/>
        <v>1</v>
      </c>
      <c r="I10" s="12"/>
      <c r="J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4">
        <v>6.0</v>
      </c>
      <c r="B11" s="4">
        <v>0.0</v>
      </c>
      <c r="C11" s="12">
        <v>0.38255215388783514</v>
      </c>
      <c r="D11" s="12">
        <f t="shared" si="1"/>
        <v>-0.978124096</v>
      </c>
      <c r="E11" s="12">
        <f t="shared" si="2"/>
        <v>0.2732641626</v>
      </c>
      <c r="F11" s="12">
        <f t="shared" si="3"/>
        <v>0.2732641626</v>
      </c>
      <c r="G11" s="13">
        <f t="shared" si="4"/>
        <v>0</v>
      </c>
      <c r="H11" s="13">
        <f t="shared" si="5"/>
        <v>1</v>
      </c>
      <c r="I11" s="12"/>
      <c r="J11" s="14" t="s">
        <v>22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4">
        <v>8.0</v>
      </c>
      <c r="B12" s="4">
        <v>0.0</v>
      </c>
      <c r="C12" s="12">
        <v>0.10620428068274168</v>
      </c>
      <c r="D12" s="12">
        <f t="shared" si="1"/>
        <v>-4.611487487</v>
      </c>
      <c r="E12" s="12">
        <f t="shared" si="2"/>
        <v>0.009839253192</v>
      </c>
      <c r="F12" s="12">
        <f t="shared" si="3"/>
        <v>0.009839253192</v>
      </c>
      <c r="G12" s="13">
        <f t="shared" si="4"/>
        <v>0</v>
      </c>
      <c r="H12" s="13">
        <f t="shared" si="5"/>
        <v>1</v>
      </c>
      <c r="I12" s="12"/>
      <c r="J12" s="14" t="s">
        <v>23</v>
      </c>
      <c r="K12" s="17">
        <v>20.88799260790884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4">
        <v>7.0</v>
      </c>
      <c r="B13" s="4">
        <v>0.0</v>
      </c>
      <c r="C13" s="12">
        <v>0.2443782172852884</v>
      </c>
      <c r="D13" s="12">
        <f t="shared" si="1"/>
        <v>-2.794805792</v>
      </c>
      <c r="E13" s="12">
        <f t="shared" si="2"/>
        <v>0.05760550737</v>
      </c>
      <c r="F13" s="12">
        <f t="shared" si="3"/>
        <v>0.05760550737</v>
      </c>
      <c r="G13" s="13">
        <f t="shared" si="4"/>
        <v>0</v>
      </c>
      <c r="H13" s="13">
        <f t="shared" si="5"/>
        <v>1</v>
      </c>
      <c r="I13" s="12"/>
      <c r="J13" s="14" t="s">
        <v>24</v>
      </c>
      <c r="K13" s="17">
        <v>6.837894614488974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4">
        <v>1.0</v>
      </c>
      <c r="B14" s="4">
        <v>1.0</v>
      </c>
      <c r="C14" s="12">
        <v>1.0734218369005686</v>
      </c>
      <c r="D14" s="12">
        <f t="shared" si="1"/>
        <v>8.105284383</v>
      </c>
      <c r="E14" s="12">
        <f t="shared" si="2"/>
        <v>0.9996981518</v>
      </c>
      <c r="F14" s="12">
        <f t="shared" si="3"/>
        <v>0.9996981518</v>
      </c>
      <c r="G14" s="13">
        <f t="shared" si="4"/>
        <v>1</v>
      </c>
      <c r="H14" s="13">
        <f t="shared" si="5"/>
        <v>1</v>
      </c>
      <c r="I14" s="12"/>
      <c r="J14" s="14" t="s">
        <v>25</v>
      </c>
      <c r="K14" s="18">
        <v>9.0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4">
        <v>1.0</v>
      </c>
      <c r="B15" s="4">
        <v>1.0</v>
      </c>
      <c r="C15" s="12">
        <v>1.0734218369005686</v>
      </c>
      <c r="D15" s="12">
        <f t="shared" si="1"/>
        <v>8.105284383</v>
      </c>
      <c r="E15" s="12">
        <f t="shared" si="2"/>
        <v>0.9996981518</v>
      </c>
      <c r="F15" s="12">
        <f t="shared" si="3"/>
        <v>0.9996981518</v>
      </c>
      <c r="G15" s="13">
        <f t="shared" si="4"/>
        <v>1</v>
      </c>
      <c r="H15" s="13">
        <f t="shared" si="5"/>
        <v>1</v>
      </c>
      <c r="I15" s="12"/>
      <c r="J15" s="14" t="s">
        <v>26</v>
      </c>
      <c r="K15" s="18">
        <v>20.0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4">
        <v>3.0</v>
      </c>
      <c r="B16" s="4">
        <v>1.0</v>
      </c>
      <c r="C16" s="12">
        <v>0.7970739636954752</v>
      </c>
      <c r="D16" s="12">
        <f t="shared" si="1"/>
        <v>4.471920991</v>
      </c>
      <c r="E16" s="12">
        <f t="shared" si="2"/>
        <v>0.9887037172</v>
      </c>
      <c r="F16" s="12">
        <f t="shared" si="3"/>
        <v>0.9887037172</v>
      </c>
      <c r="G16" s="13">
        <f t="shared" si="4"/>
        <v>1</v>
      </c>
      <c r="H16" s="13">
        <f t="shared" si="5"/>
        <v>1</v>
      </c>
      <c r="I16" s="12"/>
      <c r="J16" s="1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4">
        <v>1.0</v>
      </c>
      <c r="B17" s="4">
        <v>1.0</v>
      </c>
      <c r="C17" s="12">
        <v>1.0734218369005686</v>
      </c>
      <c r="D17" s="12">
        <f t="shared" si="1"/>
        <v>8.105284383</v>
      </c>
      <c r="E17" s="12">
        <f t="shared" si="2"/>
        <v>0.9996981518</v>
      </c>
      <c r="F17" s="12">
        <f t="shared" si="3"/>
        <v>0.9996981518</v>
      </c>
      <c r="G17" s="13">
        <f t="shared" si="4"/>
        <v>1</v>
      </c>
      <c r="H17" s="13">
        <f t="shared" si="5"/>
        <v>1</v>
      </c>
      <c r="I17" s="12"/>
      <c r="J17" s="15"/>
      <c r="K17" s="19" t="s">
        <v>27</v>
      </c>
      <c r="L17" s="19" t="s">
        <v>28</v>
      </c>
      <c r="M17" s="19" t="s">
        <v>29</v>
      </c>
      <c r="N17" s="19" t="s">
        <v>30</v>
      </c>
      <c r="O17" s="19" t="s">
        <v>31</v>
      </c>
      <c r="P17" s="19" t="s">
        <v>32</v>
      </c>
      <c r="Q17" s="19" t="s">
        <v>31</v>
      </c>
      <c r="R17" s="19" t="s">
        <v>32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4">
        <v>4.0</v>
      </c>
      <c r="B18" s="4">
        <v>1.0</v>
      </c>
      <c r="C18" s="12">
        <v>0.6589000270929285</v>
      </c>
      <c r="D18" s="12">
        <f t="shared" si="1"/>
        <v>2.655239295</v>
      </c>
      <c r="E18" s="12">
        <f t="shared" si="2"/>
        <v>0.9343331783</v>
      </c>
      <c r="F18" s="12">
        <f t="shared" si="3"/>
        <v>0.9343331783</v>
      </c>
      <c r="G18" s="13">
        <f t="shared" si="4"/>
        <v>1</v>
      </c>
      <c r="H18" s="13">
        <f t="shared" si="5"/>
        <v>1</v>
      </c>
      <c r="I18" s="12"/>
      <c r="J18" s="14" t="s">
        <v>33</v>
      </c>
      <c r="K18" s="20">
        <v>9.921966078278256</v>
      </c>
      <c r="L18" s="18">
        <v>5.684653886722864</v>
      </c>
      <c r="M18" s="20">
        <v>0.08091614743043074</v>
      </c>
      <c r="N18" s="19">
        <v>20373.006203505185</v>
      </c>
      <c r="O18" s="18">
        <v>0.29530374618717853</v>
      </c>
      <c r="P18" s="18">
        <v>1.4055337500018544E9</v>
      </c>
      <c r="Q18" s="18">
        <v>0.29530374618717853</v>
      </c>
      <c r="R18" s="18">
        <v>1.4055337500018544E9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4">
        <v>5.0</v>
      </c>
      <c r="B19" s="4">
        <v>1.0</v>
      </c>
      <c r="C19" s="12">
        <v>0.5207260904903818</v>
      </c>
      <c r="D19" s="12">
        <f t="shared" si="1"/>
        <v>0.8385575997</v>
      </c>
      <c r="E19" s="12">
        <f t="shared" si="2"/>
        <v>0.6981613429</v>
      </c>
      <c r="F19" s="12">
        <f t="shared" si="3"/>
        <v>0.6981613429</v>
      </c>
      <c r="G19" s="13">
        <f t="shared" si="4"/>
        <v>1</v>
      </c>
      <c r="H19" s="13">
        <f t="shared" si="5"/>
        <v>1</v>
      </c>
      <c r="I19" s="12"/>
      <c r="J19" s="14" t="s">
        <v>10</v>
      </c>
      <c r="K19" s="20">
        <v>-1.8166816957076948</v>
      </c>
      <c r="L19" s="18">
        <v>1.004640145055798</v>
      </c>
      <c r="M19" s="20">
        <v>0.07056122757890704</v>
      </c>
      <c r="N19" s="18">
        <v>0.16256429471056638</v>
      </c>
      <c r="O19" s="18">
        <v>0.022692059954105493</v>
      </c>
      <c r="P19" s="18">
        <v>1.1645989816787272</v>
      </c>
      <c r="Q19" s="18">
        <v>0.022692059954105493</v>
      </c>
      <c r="R19" s="18">
        <v>1.1645989816787272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4">
        <v>6.0</v>
      </c>
      <c r="B20" s="4">
        <v>1.0</v>
      </c>
      <c r="C20" s="12">
        <v>0.38255215388783514</v>
      </c>
      <c r="D20" s="12">
        <f t="shared" si="1"/>
        <v>-0.978124096</v>
      </c>
      <c r="E20" s="12">
        <f t="shared" si="2"/>
        <v>0.2732641626</v>
      </c>
      <c r="F20" s="12">
        <f t="shared" si="3"/>
        <v>0.2732641626</v>
      </c>
      <c r="G20" s="13">
        <f t="shared" si="4"/>
        <v>0</v>
      </c>
      <c r="H20" s="13">
        <f t="shared" si="5"/>
        <v>0</v>
      </c>
      <c r="I20" s="12"/>
      <c r="J20" s="15"/>
      <c r="K20" s="3"/>
      <c r="L20" s="3"/>
      <c r="M20" s="19" t="s">
        <v>34</v>
      </c>
      <c r="N20" s="1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4">
        <v>3.0</v>
      </c>
      <c r="B21" s="4">
        <v>1.0</v>
      </c>
      <c r="C21" s="12">
        <v>0.7970739636954752</v>
      </c>
      <c r="D21" s="12">
        <f t="shared" si="1"/>
        <v>4.471920991</v>
      </c>
      <c r="E21" s="12">
        <f t="shared" si="2"/>
        <v>0.9887037172</v>
      </c>
      <c r="F21" s="12">
        <f t="shared" si="3"/>
        <v>0.9887037172</v>
      </c>
      <c r="G21" s="13">
        <f t="shared" si="4"/>
        <v>1</v>
      </c>
      <c r="H21" s="13">
        <f t="shared" si="5"/>
        <v>1</v>
      </c>
      <c r="I21" s="12"/>
      <c r="J21" s="15"/>
      <c r="K21" s="3"/>
      <c r="L21" s="3"/>
      <c r="M21" s="3"/>
      <c r="N21" s="19"/>
      <c r="O21" s="1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4">
        <v>2.0</v>
      </c>
      <c r="B22" s="4">
        <v>1.0</v>
      </c>
      <c r="C22" s="12">
        <v>0.9352479002980219</v>
      </c>
      <c r="D22" s="12">
        <f t="shared" si="1"/>
        <v>6.288602687</v>
      </c>
      <c r="E22" s="12">
        <f t="shared" si="2"/>
        <v>0.9981460899</v>
      </c>
      <c r="F22" s="12">
        <f t="shared" si="3"/>
        <v>0.9981460899</v>
      </c>
      <c r="G22" s="13">
        <f t="shared" si="4"/>
        <v>1</v>
      </c>
      <c r="H22" s="13">
        <f t="shared" si="5"/>
        <v>1</v>
      </c>
      <c r="I22" s="12"/>
      <c r="J22" s="15"/>
      <c r="K22" s="3"/>
      <c r="L22" s="3"/>
      <c r="M22" s="3"/>
      <c r="N22" s="19"/>
      <c r="O22" s="18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4">
        <v>0.0</v>
      </c>
      <c r="B23" s="4">
        <v>1.0</v>
      </c>
      <c r="C23" s="12">
        <v>1.2115957735031153</v>
      </c>
      <c r="D23" s="12">
        <f t="shared" si="1"/>
        <v>9.921966078</v>
      </c>
      <c r="E23" s="12">
        <f t="shared" si="2"/>
        <v>0.9999509179</v>
      </c>
      <c r="F23" s="12">
        <f t="shared" si="3"/>
        <v>0.9999509179</v>
      </c>
      <c r="G23" s="13">
        <f t="shared" si="4"/>
        <v>1</v>
      </c>
      <c r="H23" s="13">
        <f t="shared" si="5"/>
        <v>1</v>
      </c>
      <c r="I23" s="12"/>
      <c r="J23" s="15"/>
      <c r="K23" s="3"/>
      <c r="L23" s="3"/>
      <c r="M23" s="3"/>
      <c r="N23" s="19"/>
      <c r="O23" s="1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9"/>
      <c r="O24" s="1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4"/>
      <c r="B25" s="4"/>
      <c r="C25" s="3"/>
      <c r="D25" s="3"/>
      <c r="E25" s="3"/>
      <c r="F25" s="3"/>
      <c r="G25" s="19" t="s">
        <v>35</v>
      </c>
      <c r="H25" s="21">
        <f t="array" ref="H25">AVERAGE(H4:H23)</f>
        <v>0.9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4"/>
      <c r="B26" s="4"/>
      <c r="C26" s="3"/>
      <c r="D26" s="3"/>
      <c r="E26" s="3"/>
      <c r="F26" s="3"/>
      <c r="G26" s="19" t="s">
        <v>36</v>
      </c>
      <c r="H26" s="22">
        <f>SUM(H4:H23)/COUNTA(H4:H23)</f>
        <v>0.9</v>
      </c>
      <c r="I26" s="3"/>
      <c r="J26" s="3"/>
      <c r="K26" s="3"/>
      <c r="L26" s="3"/>
      <c r="M26" s="3"/>
      <c r="N26" s="3"/>
      <c r="O26" s="19"/>
      <c r="P26" s="19"/>
      <c r="Q26" s="19"/>
      <c r="R26" s="19"/>
      <c r="S26" s="19"/>
      <c r="T26" s="19"/>
      <c r="U26" s="19"/>
      <c r="V26" s="19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9"/>
      <c r="O27" s="18"/>
      <c r="P27" s="18"/>
      <c r="Q27" s="18"/>
      <c r="R27" s="18"/>
      <c r="S27" s="18"/>
      <c r="T27" s="18"/>
      <c r="U27" s="18"/>
      <c r="V27" s="18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9"/>
      <c r="O28" s="18"/>
      <c r="P28" s="18"/>
      <c r="Q28" s="18"/>
      <c r="R28" s="18"/>
      <c r="S28" s="18"/>
      <c r="T28" s="18"/>
      <c r="U28" s="18"/>
      <c r="V28" s="18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conditionalFormatting sqref="E4:E23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37</v>
      </c>
      <c r="B1" s="11" t="s">
        <v>38</v>
      </c>
      <c r="C1" s="23" t="s">
        <v>39</v>
      </c>
    </row>
    <row r="2">
      <c r="A2" s="24">
        <v>-10.0</v>
      </c>
      <c r="B2" s="15">
        <f t="shared" ref="B2:B22" si="1">1/(1+EXP(-A2))</f>
        <v>0.0000453978687</v>
      </c>
      <c r="C2" s="15">
        <f t="shared" ref="C2:C22" si="2">EXP(A2)/(1+EXP(A2))</f>
        <v>0.0000453978687</v>
      </c>
    </row>
    <row r="3">
      <c r="A3" s="24">
        <v>-9.0</v>
      </c>
      <c r="B3" s="15">
        <f t="shared" si="1"/>
        <v>0.000123394576</v>
      </c>
      <c r="C3" s="15">
        <f t="shared" si="2"/>
        <v>0.000123394576</v>
      </c>
    </row>
    <row r="4">
      <c r="A4" s="24">
        <f t="shared" ref="A4:A22" si="3">A3+1</f>
        <v>-8</v>
      </c>
      <c r="B4" s="15">
        <f t="shared" si="1"/>
        <v>0.0003353501305</v>
      </c>
      <c r="C4" s="15">
        <f t="shared" si="2"/>
        <v>0.0003353501305</v>
      </c>
      <c r="G4" s="11" t="s">
        <v>40</v>
      </c>
    </row>
    <row r="5">
      <c r="A5" s="24">
        <f t="shared" si="3"/>
        <v>-7</v>
      </c>
      <c r="B5" s="15">
        <f t="shared" si="1"/>
        <v>0.0009110511944</v>
      </c>
      <c r="C5" s="15">
        <f t="shared" si="2"/>
        <v>0.0009110511944</v>
      </c>
    </row>
    <row r="6">
      <c r="A6" s="24">
        <f t="shared" si="3"/>
        <v>-6</v>
      </c>
      <c r="B6" s="15">
        <f t="shared" si="1"/>
        <v>0.002472623157</v>
      </c>
      <c r="C6" s="15">
        <f t="shared" si="2"/>
        <v>0.002472623157</v>
      </c>
    </row>
    <row r="7">
      <c r="A7" s="24">
        <f t="shared" si="3"/>
        <v>-5</v>
      </c>
      <c r="B7" s="15">
        <f t="shared" si="1"/>
        <v>0.006692850924</v>
      </c>
      <c r="C7" s="15">
        <f t="shared" si="2"/>
        <v>0.006692850924</v>
      </c>
    </row>
    <row r="8">
      <c r="A8" s="24">
        <f t="shared" si="3"/>
        <v>-4</v>
      </c>
      <c r="B8" s="15">
        <f t="shared" si="1"/>
        <v>0.01798620996</v>
      </c>
      <c r="C8" s="15">
        <f t="shared" si="2"/>
        <v>0.01798620996</v>
      </c>
    </row>
    <row r="9">
      <c r="A9" s="24">
        <f t="shared" si="3"/>
        <v>-3</v>
      </c>
      <c r="B9" s="15">
        <f t="shared" si="1"/>
        <v>0.04742587318</v>
      </c>
      <c r="C9" s="15">
        <f t="shared" si="2"/>
        <v>0.04742587318</v>
      </c>
    </row>
    <row r="10">
      <c r="A10" s="24">
        <f t="shared" si="3"/>
        <v>-2</v>
      </c>
      <c r="B10" s="15">
        <f t="shared" si="1"/>
        <v>0.119202922</v>
      </c>
      <c r="C10" s="15">
        <f t="shared" si="2"/>
        <v>0.119202922</v>
      </c>
    </row>
    <row r="11">
      <c r="A11" s="24">
        <f t="shared" si="3"/>
        <v>-1</v>
      </c>
      <c r="B11" s="15">
        <f t="shared" si="1"/>
        <v>0.2689414214</v>
      </c>
      <c r="C11" s="15">
        <f t="shared" si="2"/>
        <v>0.2689414214</v>
      </c>
    </row>
    <row r="12">
      <c r="A12" s="24">
        <f t="shared" si="3"/>
        <v>0</v>
      </c>
      <c r="B12" s="15">
        <f t="shared" si="1"/>
        <v>0.5</v>
      </c>
      <c r="C12" s="15">
        <f t="shared" si="2"/>
        <v>0.5</v>
      </c>
    </row>
    <row r="13">
      <c r="A13" s="24">
        <f t="shared" si="3"/>
        <v>1</v>
      </c>
      <c r="B13" s="15">
        <f t="shared" si="1"/>
        <v>0.7310585786</v>
      </c>
      <c r="C13" s="15">
        <f t="shared" si="2"/>
        <v>0.7310585786</v>
      </c>
    </row>
    <row r="14">
      <c r="A14" s="24">
        <f t="shared" si="3"/>
        <v>2</v>
      </c>
      <c r="B14" s="15">
        <f t="shared" si="1"/>
        <v>0.880797078</v>
      </c>
      <c r="C14" s="15">
        <f t="shared" si="2"/>
        <v>0.880797078</v>
      </c>
    </row>
    <row r="15">
      <c r="A15" s="24">
        <f t="shared" si="3"/>
        <v>3</v>
      </c>
      <c r="B15" s="15">
        <f t="shared" si="1"/>
        <v>0.9525741268</v>
      </c>
      <c r="C15" s="15">
        <f t="shared" si="2"/>
        <v>0.9525741268</v>
      </c>
    </row>
    <row r="16">
      <c r="A16" s="24">
        <f t="shared" si="3"/>
        <v>4</v>
      </c>
      <c r="B16" s="15">
        <f t="shared" si="1"/>
        <v>0.98201379</v>
      </c>
      <c r="C16" s="15">
        <f t="shared" si="2"/>
        <v>0.98201379</v>
      </c>
    </row>
    <row r="17">
      <c r="A17" s="24">
        <f t="shared" si="3"/>
        <v>5</v>
      </c>
      <c r="B17" s="15">
        <f t="shared" si="1"/>
        <v>0.9933071491</v>
      </c>
      <c r="C17" s="15">
        <f t="shared" si="2"/>
        <v>0.9933071491</v>
      </c>
    </row>
    <row r="18">
      <c r="A18" s="24">
        <f t="shared" si="3"/>
        <v>6</v>
      </c>
      <c r="B18" s="15">
        <f t="shared" si="1"/>
        <v>0.9975273768</v>
      </c>
      <c r="C18" s="15">
        <f t="shared" si="2"/>
        <v>0.9975273768</v>
      </c>
    </row>
    <row r="19">
      <c r="A19" s="24">
        <f t="shared" si="3"/>
        <v>7</v>
      </c>
      <c r="B19" s="15">
        <f t="shared" si="1"/>
        <v>0.9990889488</v>
      </c>
      <c r="C19" s="15">
        <f t="shared" si="2"/>
        <v>0.9990889488</v>
      </c>
    </row>
    <row r="20">
      <c r="A20" s="24">
        <f t="shared" si="3"/>
        <v>8</v>
      </c>
      <c r="B20" s="15">
        <f t="shared" si="1"/>
        <v>0.9996646499</v>
      </c>
      <c r="C20" s="15">
        <f t="shared" si="2"/>
        <v>0.9996646499</v>
      </c>
    </row>
    <row r="21">
      <c r="A21" s="24">
        <f t="shared" si="3"/>
        <v>9</v>
      </c>
      <c r="B21" s="15">
        <f t="shared" si="1"/>
        <v>0.9998766054</v>
      </c>
      <c r="C21" s="15">
        <f t="shared" si="2"/>
        <v>0.9998766054</v>
      </c>
    </row>
    <row r="22">
      <c r="A22" s="24">
        <f t="shared" si="3"/>
        <v>10</v>
      </c>
      <c r="B22" s="15">
        <f t="shared" si="1"/>
        <v>0.9999546021</v>
      </c>
      <c r="C22" s="15">
        <f t="shared" si="2"/>
        <v>0.9999546021</v>
      </c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K2" s="26" t="b">
        <v>1</v>
      </c>
    </row>
    <row r="3">
      <c r="H3" s="1" t="s">
        <v>41</v>
      </c>
      <c r="I3" s="1" t="s">
        <v>10</v>
      </c>
      <c r="J3" s="1" t="s">
        <v>11</v>
      </c>
      <c r="K3" s="11" t="s">
        <v>42</v>
      </c>
    </row>
    <row r="4">
      <c r="H4" s="27">
        <v>18.0</v>
      </c>
      <c r="I4" s="27">
        <v>3.0</v>
      </c>
      <c r="J4" s="27">
        <v>1.0</v>
      </c>
      <c r="K4" s="28">
        <f t="shared" ref="K4:K23" si="1">RAND()</f>
        <v>0.2193599576</v>
      </c>
    </row>
    <row r="5">
      <c r="H5" s="27">
        <v>7.0</v>
      </c>
      <c r="I5" s="27">
        <v>9.0</v>
      </c>
      <c r="J5" s="27">
        <v>0.0</v>
      </c>
      <c r="K5" s="28">
        <f t="shared" si="1"/>
        <v>0.3637940292</v>
      </c>
    </row>
    <row r="6">
      <c r="H6" s="27">
        <v>17.0</v>
      </c>
      <c r="I6" s="27">
        <v>6.0</v>
      </c>
      <c r="J6" s="27">
        <v>1.0</v>
      </c>
      <c r="K6" s="28">
        <f t="shared" si="1"/>
        <v>0.7050789256</v>
      </c>
    </row>
    <row r="7">
      <c r="H7" s="27">
        <v>20.0</v>
      </c>
      <c r="I7" s="27">
        <v>0.0</v>
      </c>
      <c r="J7" s="27">
        <v>1.0</v>
      </c>
      <c r="K7" s="28">
        <f t="shared" si="1"/>
        <v>0.7192630023</v>
      </c>
    </row>
    <row r="8">
      <c r="H8" s="27">
        <v>14.0</v>
      </c>
      <c r="I8" s="27">
        <v>1.0</v>
      </c>
      <c r="J8" s="27">
        <v>1.0</v>
      </c>
      <c r="K8" s="28">
        <f t="shared" si="1"/>
        <v>0.8150947726</v>
      </c>
    </row>
    <row r="9">
      <c r="H9" s="27">
        <v>19.0</v>
      </c>
      <c r="I9" s="27">
        <v>2.0</v>
      </c>
      <c r="J9" s="27">
        <v>1.0</v>
      </c>
      <c r="K9" s="28">
        <f t="shared" si="1"/>
        <v>0.9620539823</v>
      </c>
    </row>
    <row r="10">
      <c r="H10" s="27">
        <v>13.0</v>
      </c>
      <c r="I10" s="27">
        <v>3.0</v>
      </c>
      <c r="J10" s="27">
        <v>1.0</v>
      </c>
      <c r="K10" s="28">
        <f t="shared" si="1"/>
        <v>0.3863013838</v>
      </c>
    </row>
    <row r="11">
      <c r="H11" s="27">
        <v>15.0</v>
      </c>
      <c r="I11" s="27">
        <v>4.0</v>
      </c>
      <c r="J11" s="27">
        <v>1.0</v>
      </c>
      <c r="K11" s="28">
        <f t="shared" si="1"/>
        <v>0.5474015865</v>
      </c>
    </row>
    <row r="12">
      <c r="H12" s="27">
        <v>4.0</v>
      </c>
      <c r="I12" s="27">
        <v>7.0</v>
      </c>
      <c r="J12" s="27">
        <v>0.0</v>
      </c>
      <c r="K12" s="28">
        <f t="shared" si="1"/>
        <v>0.1944187379</v>
      </c>
    </row>
    <row r="13">
      <c r="H13" s="27">
        <v>12.0</v>
      </c>
      <c r="I13" s="27">
        <v>1.0</v>
      </c>
      <c r="J13" s="27">
        <v>1.0</v>
      </c>
      <c r="K13" s="28">
        <f t="shared" si="1"/>
        <v>0.7827926539</v>
      </c>
    </row>
    <row r="14">
      <c r="H14" s="27">
        <v>16.0</v>
      </c>
      <c r="I14" s="27">
        <v>5.0</v>
      </c>
      <c r="J14" s="27">
        <v>1.0</v>
      </c>
      <c r="K14" s="28">
        <f t="shared" si="1"/>
        <v>0.432477429</v>
      </c>
    </row>
    <row r="15">
      <c r="H15" s="27">
        <v>8.0</v>
      </c>
      <c r="I15" s="27">
        <v>6.0</v>
      </c>
      <c r="J15" s="27">
        <v>0.0</v>
      </c>
      <c r="K15" s="28">
        <f t="shared" si="1"/>
        <v>0.6123675908</v>
      </c>
    </row>
    <row r="16">
      <c r="H16" s="27">
        <v>1.0</v>
      </c>
      <c r="I16" s="27">
        <v>10.0</v>
      </c>
      <c r="J16" s="27">
        <v>0.0</v>
      </c>
      <c r="K16" s="28">
        <f t="shared" si="1"/>
        <v>0.5600323033</v>
      </c>
    </row>
    <row r="17">
      <c r="H17" s="27">
        <v>11.0</v>
      </c>
      <c r="I17" s="27">
        <v>1.0</v>
      </c>
      <c r="J17" s="27">
        <v>1.0</v>
      </c>
      <c r="K17" s="28">
        <f t="shared" si="1"/>
        <v>0.8629740699</v>
      </c>
    </row>
    <row r="18">
      <c r="H18" s="27">
        <v>9.0</v>
      </c>
      <c r="I18" s="27">
        <v>8.0</v>
      </c>
      <c r="J18" s="27">
        <v>0.0</v>
      </c>
      <c r="K18" s="28">
        <f t="shared" si="1"/>
        <v>0.6749656031</v>
      </c>
    </row>
    <row r="19">
      <c r="H19" s="29">
        <v>2.0</v>
      </c>
      <c r="I19" s="29">
        <v>8.0</v>
      </c>
      <c r="J19" s="29">
        <v>0.0</v>
      </c>
      <c r="K19" s="30">
        <f t="shared" si="1"/>
        <v>0.1600404955</v>
      </c>
    </row>
    <row r="20">
      <c r="H20" s="29">
        <v>6.0</v>
      </c>
      <c r="I20" s="29">
        <v>5.0</v>
      </c>
      <c r="J20" s="29">
        <v>0.0</v>
      </c>
      <c r="K20" s="30">
        <f t="shared" si="1"/>
        <v>0.6737728</v>
      </c>
    </row>
    <row r="21">
      <c r="H21" s="29">
        <v>10.0</v>
      </c>
      <c r="I21" s="29">
        <v>7.0</v>
      </c>
      <c r="J21" s="29">
        <v>0.0</v>
      </c>
      <c r="K21" s="30">
        <f t="shared" si="1"/>
        <v>0.6187029565</v>
      </c>
    </row>
    <row r="22">
      <c r="H22" s="29">
        <v>5.0</v>
      </c>
      <c r="I22" s="29">
        <v>8.0</v>
      </c>
      <c r="J22" s="29">
        <v>0.0</v>
      </c>
      <c r="K22" s="30">
        <f t="shared" si="1"/>
        <v>0.6811483042</v>
      </c>
    </row>
    <row r="23">
      <c r="H23" s="29">
        <v>3.0</v>
      </c>
      <c r="I23" s="29">
        <v>9.0</v>
      </c>
      <c r="J23" s="29">
        <v>0.0</v>
      </c>
      <c r="K23" s="30">
        <f t="shared" si="1"/>
        <v>0.1877027996</v>
      </c>
    </row>
  </sheetData>
  <autoFilter ref="$H$3:$K$23">
    <sortState ref="H3:K23">
      <sortCondition ref="K3:K2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0.0</v>
      </c>
      <c r="B2" s="4">
        <v>0.0</v>
      </c>
      <c r="C2" s="3"/>
      <c r="D2" s="3"/>
      <c r="E2" s="1" t="s">
        <v>45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0.0</v>
      </c>
      <c r="B3" s="4">
        <v>0.0</v>
      </c>
      <c r="C3" s="3"/>
      <c r="D3" s="8" t="s">
        <v>46</v>
      </c>
      <c r="E3" s="4" t="s">
        <v>47</v>
      </c>
      <c r="F3" s="4" t="s">
        <v>48</v>
      </c>
      <c r="G3" s="3"/>
      <c r="H3" s="1" t="s">
        <v>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4">
        <v>1.0</v>
      </c>
      <c r="C4" s="3"/>
      <c r="D4" s="19" t="s">
        <v>47</v>
      </c>
      <c r="E4" s="31">
        <f>COUNTIFS(ACTUAL,0,PREDICTED,0)</f>
        <v>8</v>
      </c>
      <c r="F4" s="31">
        <f>COUNTIFS(ACTUAL,0,PREDICTED,1)</f>
        <v>2</v>
      </c>
      <c r="G4" s="3"/>
      <c r="H4" s="3">
        <f>SUM(E4:F5)</f>
        <v>20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0.0</v>
      </c>
      <c r="B5" s="4">
        <v>1.0</v>
      </c>
      <c r="C5" s="3"/>
      <c r="D5" s="19" t="s">
        <v>48</v>
      </c>
      <c r="E5" s="31">
        <f>COUNTIFS(ACTUAL,1 ,PREDICTED,0)</f>
        <v>3</v>
      </c>
      <c r="F5" s="31">
        <f>COUNTIFS(ACTUAL,1,PREDICTED,1)</f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0.0</v>
      </c>
      <c r="B6" s="4">
        <v>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4">
        <v>1.0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0.0</v>
      </c>
      <c r="B8" s="4">
        <v>0.0</v>
      </c>
      <c r="C8" s="3"/>
      <c r="D8" s="19" t="s">
        <v>35</v>
      </c>
      <c r="E8" s="32">
        <f>(E4+F5)/SUM(E4:F5)</f>
        <v>0.75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1.0</v>
      </c>
      <c r="B9" s="4">
        <v>0.0</v>
      </c>
      <c r="C9" s="3"/>
      <c r="D9" s="19" t="s">
        <v>50</v>
      </c>
      <c r="E9" s="32">
        <f>F5/SUM(F4:F5)</f>
        <v>0.7777777778</v>
      </c>
      <c r="F9" s="19" t="s">
        <v>51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4">
        <v>0.0</v>
      </c>
      <c r="C10" s="3"/>
      <c r="D10" s="19" t="s">
        <v>52</v>
      </c>
      <c r="E10" s="32">
        <f>F5/(E4+F4)</f>
        <v>0.7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4">
        <v>1.0</v>
      </c>
      <c r="C11" s="3"/>
      <c r="D11" s="19" t="s">
        <v>53</v>
      </c>
      <c r="E11" s="32">
        <f>2*(E9*E10)/(E9+E10)</f>
        <v>0.7368421053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0.0</v>
      </c>
      <c r="B12" s="4">
        <v>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0.0</v>
      </c>
      <c r="B13" s="4">
        <v>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0.0</v>
      </c>
      <c r="B14" s="4">
        <v>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1.0</v>
      </c>
      <c r="B15" s="4">
        <v>1.0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1.0</v>
      </c>
      <c r="B16" s="4">
        <v>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1.0</v>
      </c>
      <c r="B17" s="4">
        <v>1.0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0.0</v>
      </c>
      <c r="B18" s="4">
        <v>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1.0</v>
      </c>
      <c r="B19" s="4">
        <v>1.0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0.0</v>
      </c>
      <c r="B20" s="4">
        <v>1.0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1.0</v>
      </c>
      <c r="B21" s="4">
        <v>1.0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E2:F2"/>
  </mergeCells>
  <drawing r:id="rId1"/>
</worksheet>
</file>